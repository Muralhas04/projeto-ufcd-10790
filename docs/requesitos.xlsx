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. Funcionais (RF)" sheetId="1" r:id="rId4"/>
    <sheet state="visible" name="Req. Não Funcionais (RNF)" sheetId="2" r:id="rId5"/>
    <sheet state="visible" name="Resumo" sheetId="3" r:id="rId6"/>
  </sheets>
  <definedNames/>
  <calcPr/>
  <extLst>
    <ext uri="GoogleSheetsCustomDataVersion2">
      <go:sheetsCustomData xmlns:go="http://customooxmlschemas.google.com/" r:id="rId7" roundtripDataChecksum="ChsG/VDylnTMsqru3pHy56rbgoeUC0aF5iII0UONBdU="/>
    </ext>
  </extLst>
</workbook>
</file>

<file path=xl/sharedStrings.xml><?xml version="1.0" encoding="utf-8"?>
<sst xmlns="http://schemas.openxmlformats.org/spreadsheetml/2006/main" count="187" uniqueCount="134">
  <si>
    <t>UFCD 10790 – Levantamento de Requisitos Funcionais (RF)   |   Projeto: TugaScore   |   Grupo: ___________</t>
  </si>
  <si>
    <t>Data: 02/06/2026     Versão: 1.0     Formador: ___________________________     Estado geral: Em curso</t>
  </si>
  <si>
    <t>ID</t>
  </si>
  <si>
    <t>Nome do Requisito</t>
  </si>
  <si>
    <t>Descrição Detalhada</t>
  </si>
  <si>
    <t>Ator / Utilizador</t>
  </si>
  <si>
    <t>Prioridade</t>
  </si>
  <si>
    <t>Estado</t>
  </si>
  <si>
    <t>Critério de Aceitação</t>
  </si>
  <si>
    <t>Notas / Observações</t>
  </si>
  <si>
    <t>Módulo</t>
  </si>
  <si>
    <t>RF01</t>
  </si>
  <si>
    <t>Seleção de Divisão</t>
  </si>
  <si>
    <t>O sistema deve permitir ao utilizador escolher qual a divisão que deseja consultar (Liga Portugal, Liga Portugal 2 ou Liga 3).</t>
  </si>
  <si>
    <t>Adepto</t>
  </si>
  <si>
    <t>Alta</t>
  </si>
  <si>
    <t>Pendente</t>
  </si>
  <si>
    <t>O utilizador escolhe a liga e o programa abre o menu de opções específico dessa competição.</t>
  </si>
  <si>
    <t>Menu inicial em texto.</t>
  </si>
  <si>
    <t>Menus</t>
  </si>
  <si>
    <t>RF02</t>
  </si>
  <si>
    <t>Consulta de Classificação</t>
  </si>
  <si>
    <t>O sistema deve listar a tabela classificativa atualizada da liga selecionada com Posição, Equipas, Pontos, Jogos, Vitórias, Empates e Derrotas.</t>
  </si>
  <si>
    <t>A tabela deve aparecer ordenada corretamente por pontos (do 1º ao último classificado).</t>
  </si>
  <si>
    <t>Ordenação automática em Python.</t>
  </si>
  <si>
    <t>Estatísticas</t>
  </si>
  <si>
    <t>RF03</t>
  </si>
  <si>
    <t>Listagem de Jogos por Jornada</t>
  </si>
  <si>
    <t>O sistema deve permitir navegar pelas jornadas e listar todos os jogos dessa ronda com os respetivos resultados.</t>
  </si>
  <si>
    <t>O utilizador introduz o número da jornada (ex: 1) e o sistema exibe os jogos e os golos correspondentes.</t>
  </si>
  <si>
    <t>Dados reais pré-carregados no código.</t>
  </si>
  <si>
    <t>Calendário</t>
  </si>
  <si>
    <t>RF04</t>
  </si>
  <si>
    <t>Ficha de Jogo Detalhada</t>
  </si>
  <si>
    <t>Ao selecionar um jogo específico, o sistema deve mostrar os detalhes da partida: marcadores de golos e cartões.</t>
  </si>
  <si>
    <t>Média</t>
  </si>
  <si>
    <t>Mostra os nomes dos jogadores que marcaram os golos e o minuto do acontecimento.</t>
  </si>
  <si>
    <t>Dados estáticos para os jogos principais.</t>
  </si>
  <si>
    <t>RF05</t>
  </si>
  <si>
    <t>Pesquisa de Equipas (Scouting)</t>
  </si>
  <si>
    <t>O utilizador deve poder pesquisar por uma equipa e ver o resumo do seu desempenho.</t>
  </si>
  <si>
    <t>Ao digitar o nome da equipa (ex: "Alverca"), o sistema isola e mostra apenas os dados dessa equipa.</t>
  </si>
  <si>
    <t>Se não encontrar a equipa, avisa o utilizador.</t>
  </si>
  <si>
    <t>Pesquisa</t>
  </si>
  <si>
    <t>RF06</t>
  </si>
  <si>
    <t>Histórico de Confrontos (H2H)</t>
  </si>
  <si>
    <t>O sistema deve permitir escolher duas equipas e mostrar o histórico de resultados anteriores entre elas.</t>
  </si>
  <si>
    <t>Baixa</t>
  </si>
  <si>
    <t>Mostra a contagem de vitórias de cada uma nos confrontos diretos registados na aplicação.</t>
  </si>
  <si>
    <t>Funcionalidade secundária ("Nice-to-have").</t>
  </si>
  <si>
    <t>RF07</t>
  </si>
  <si>
    <t>Linguagem de Implementação</t>
  </si>
  <si>
    <t>A aplicação deve ser desenvolvida inteiramente na linguagem Python (versão 3.x).</t>
  </si>
  <si>
    <t>Sistema</t>
  </si>
  <si>
    <t>O código corre sem erros no interpretador de Python padrão e sem bibliotecas externas complexas.</t>
  </si>
  <si>
    <t>Requisito pedagógico do stor.</t>
  </si>
  <si>
    <t>Infraestrutura</t>
  </si>
  <si>
    <t>RF08</t>
  </si>
  <si>
    <t>Interface de Linha de Comandos</t>
  </si>
  <si>
    <t>A interface com o utilizador deve ser baseada em menus de texto claros e numéricos no terminal.</t>
  </si>
  <si>
    <t>O utilizador consegue navegar por todas as secções da aplicação apenas digitando números (ex: 1, 2, 3, 0 para voltar).</t>
  </si>
  <si>
    <t>CLI (Command Line Interface).</t>
  </si>
  <si>
    <t>UX / Interface</t>
  </si>
  <si>
    <t>RF09</t>
  </si>
  <si>
    <t>Validação de Entradas</t>
  </si>
  <si>
    <t>O sistema deve ser robusto contra erros de digitação do utilizador, impedindo que o programa vá abaixo.</t>
  </si>
  <si>
    <t>Se o utilizador digitar letras num menu que pede números, o sistema mostra "Opção Inválida" e pede nova inserção.</t>
  </si>
  <si>
    <t>Uso de blocos try/except em Python.</t>
  </si>
  <si>
    <t>Segurança</t>
  </si>
  <si>
    <t>RF10</t>
  </si>
  <si>
    <t>Desempenho de Consulta</t>
  </si>
  <si>
    <t>O tempo de resposta ao listar tabelas ou jogos deve ser imediato para garantir uma boa experiência.</t>
  </si>
  <si>
    <t>O tempo para exibir qualquer informação no ecrã após o clique deve ser inferior a 1 segundo.</t>
  </si>
  <si>
    <t>Como os dados são locais, o carregamento é instantâneo.</t>
  </si>
  <si>
    <t>Desempenho</t>
  </si>
  <si>
    <t>RF11</t>
  </si>
  <si>
    <t>RF12</t>
  </si>
  <si>
    <t>RF13</t>
  </si>
  <si>
    <t>RF14</t>
  </si>
  <si>
    <t>RF15</t>
  </si>
  <si>
    <t>Total de requisitos Funcionais (RF)</t>
  </si>
  <si>
    <t>Prioridade:    Alta = obrigatório para a entrega    |    Média = importante mas não crítico    |    Baixa = nice-to-have</t>
  </si>
  <si>
    <t>UFCD 10790 – Levantamento de Requisitos Não Funcionais (RNF)   |   Projeto: ___________________________   |   Grupo: ___________</t>
  </si>
  <si>
    <t>Data: ___/___/______     Versão: 1.0     Formador: ___________________________     Estado geral: Em curso</t>
  </si>
  <si>
    <t>RNF01</t>
  </si>
  <si>
    <t>As páginas devem carregar em menos de 2 segundos em condições normais de utilização.</t>
  </si>
  <si>
    <t>Todos</t>
  </si>
  <si>
    <t>Medição com ferramenta de profiling. Tempo médio &lt; 2s em 90% dos casos.</t>
  </si>
  <si>
    <t>Testar com base de dados de 1000 produtos.</t>
  </si>
  <si>
    <t>Performance</t>
  </si>
  <si>
    <t>RNF02</t>
  </si>
  <si>
    <t>Segurança de Passwords</t>
  </si>
  <si>
    <t>As passwords devem ser armazenadas com hash (bcrypt ou equivalente) — nunca em texto simples.</t>
  </si>
  <si>
    <t>Inspecionar a BD: o campo password não contém texto legível.</t>
  </si>
  <si>
    <t>Usar biblioteca bcrypt do Python.</t>
  </si>
  <si>
    <t>RNF03</t>
  </si>
  <si>
    <t>Usabilidade</t>
  </si>
  <si>
    <t>A interface deve ser intuitiva e utilizável por um utilizador sem formação prévia.</t>
  </si>
  <si>
    <t>Cliente</t>
  </si>
  <si>
    <t>Utilizador consegue completar uma compra em menos de 5 minutos sem ajuda.</t>
  </si>
  <si>
    <t>UX</t>
  </si>
  <si>
    <t>RNF04</t>
  </si>
  <si>
    <t>Disponibilidade</t>
  </si>
  <si>
    <t>O sistema deve estar disponível 99% do tempo em horário laboral (9h-18h, dias úteis).</t>
  </si>
  <si>
    <t>Monitorização com uptime &lt; 1% de downtime no período de avaliação.</t>
  </si>
  <si>
    <t>RNF05</t>
  </si>
  <si>
    <t>Compatibilidade</t>
  </si>
  <si>
    <t>A aplicação deve funcionar nos browsers Chrome, Firefox e Edge (versões actuais).</t>
  </si>
  <si>
    <t>Testar as funcionalidades principais nos três browsers sem erros visuais.</t>
  </si>
  <si>
    <t>Não é necessário suporte a Internet Explorer.</t>
  </si>
  <si>
    <t>RNF06</t>
  </si>
  <si>
    <t>← Descreva o requisito de forma clara e verificável</t>
  </si>
  <si>
    <t>← Como confirmar que está implementado?</t>
  </si>
  <si>
    <t>RNF07</t>
  </si>
  <si>
    <t>RNF08</t>
  </si>
  <si>
    <t>RNF09</t>
  </si>
  <si>
    <t>RNF10</t>
  </si>
  <si>
    <t>RNF11</t>
  </si>
  <si>
    <t>RNF12</t>
  </si>
  <si>
    <t>RNF13</t>
  </si>
  <si>
    <t>Total de requisitos Não Funcionais (RNF)</t>
  </si>
  <si>
    <t>UFCD 10790 — Resumo do Levantamento de Requisitos</t>
  </si>
  <si>
    <t>Projeto: ___________________________   |   Grupo: ___________   |   Data: ___/___/______</t>
  </si>
  <si>
    <t>Indicador</t>
  </si>
  <si>
    <t>Funcionais (RF)</t>
  </si>
  <si>
    <t>Não Funcionais (RNF)</t>
  </si>
  <si>
    <t>Total</t>
  </si>
  <si>
    <t>Total de Requisitos</t>
  </si>
  <si>
    <t>Prioridade Alta</t>
  </si>
  <si>
    <t>Prioridade Média</t>
  </si>
  <si>
    <t>Prioridade Baixa</t>
  </si>
  <si>
    <t>Concluídos</t>
  </si>
  <si>
    <t>Pendentes</t>
  </si>
  <si>
    <t>Em curso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</si>
</sst>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rgb="FF004D26"/>
      <name val="Arial"/>
    </font>
    <font>
      <b/>
      <sz val="10.0"/>
      <color rgb="FFFFFFFF"/>
      <name val="Arial"/>
    </font>
    <font>
      <b/>
      <sz val="10.0"/>
      <color rgb="FF004D26"/>
      <name val="Arial"/>
    </font>
    <font>
      <sz val="10.0"/>
      <color rgb="FF1A1A1A"/>
      <name val="Arial"/>
    </font>
    <font>
      <b/>
      <sz val="10.0"/>
      <color rgb="FFB71C1C"/>
      <name val="Arial"/>
    </font>
    <font>
      <sz val="10.0"/>
      <color rgb="FF555555"/>
      <name val="Arial"/>
    </font>
    <font>
      <b/>
      <sz val="10.0"/>
      <color rgb="FFE65100"/>
      <name val="Arial"/>
    </font>
    <font>
      <b/>
      <sz val="10.0"/>
      <color rgb="FF1155CC"/>
      <name val="Arial"/>
    </font>
    <font>
      <b/>
      <i/>
      <sz val="10.0"/>
      <color rgb="FF004D26"/>
      <name val="Arial"/>
    </font>
    <font>
      <i/>
      <sz val="10.0"/>
      <color rgb="FFAAAAAA"/>
      <name val="Arial"/>
    </font>
    <font>
      <b/>
      <sz val="11.0"/>
      <color rgb="FFFFFFFF"/>
      <name val="Arial"/>
    </font>
    <font>
      <sz val="11.0"/>
      <color theme="1"/>
      <name val="Calibri"/>
    </font>
    <font>
      <i/>
      <sz val="9.0"/>
      <color rgb="FF555555"/>
      <name val="Arial"/>
    </font>
    <font>
      <i/>
      <sz val="9.0"/>
      <color rgb="FF4A148C"/>
      <name val="Arial"/>
    </font>
    <font>
      <b/>
      <sz val="10.0"/>
      <color rgb="FF4A148C"/>
      <name val="Arial"/>
    </font>
    <font>
      <b/>
      <i/>
      <sz val="10.0"/>
      <color rgb="FF4A148C"/>
      <name val="Arial"/>
    </font>
    <font>
      <b/>
      <sz val="14.0"/>
      <color rgb="FFFFFFFF"/>
      <name val="Arial"/>
    </font>
    <font>
      <i/>
      <sz val="10.0"/>
      <color rgb="FF004D26"/>
      <name val="Arial"/>
    </font>
    <font>
      <b/>
      <sz val="11.0"/>
      <color rgb="FF004D26"/>
      <name val="Arial"/>
    </font>
    <font>
      <b/>
      <sz val="11.0"/>
      <color rgb="FF4A148C"/>
      <name val="Arial"/>
    </font>
    <font>
      <sz val="11.0"/>
      <color rgb="FF004D26"/>
      <name val="Arial"/>
    </font>
    <font>
      <sz val="11.0"/>
      <color rgb="FF4A148C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4D26"/>
        <bgColor rgb="FF004D26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EBEE"/>
        <bgColor rgb="FFFFEBEE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FFF3E0"/>
        <bgColor rgb="FFFFF3E0"/>
      </patternFill>
    </fill>
    <fill>
      <patternFill patternType="solid">
        <fgColor rgb="FF4A148C"/>
        <bgColor rgb="FF4A148C"/>
      </patternFill>
    </fill>
    <fill>
      <patternFill patternType="solid">
        <fgColor rgb="FFF3E5F5"/>
        <bgColor rgb="FFF3E5F5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dotted">
        <color rgb="FFEEEEEE"/>
      </left>
      <right style="dotted">
        <color rgb="FFEEEEEE"/>
      </right>
      <top style="dotted">
        <color rgb="FFEEEEEE"/>
      </top>
      <bottom style="dotted">
        <color rgb="FFEEEEEE"/>
      </bottom>
    </border>
    <border>
      <left style="thin">
        <color rgb="FF003300"/>
      </left>
      <top style="thin">
        <color rgb="FF003300"/>
      </top>
      <bottom style="thin">
        <color rgb="FF003300"/>
      </bottom>
    </border>
    <border>
      <top style="thin">
        <color rgb="FF003300"/>
      </top>
      <bottom style="thin">
        <color rgb="FF003300"/>
      </bottom>
    </border>
    <border>
      <right/>
      <top style="thin">
        <color rgb="FF003300"/>
      </top>
      <bottom style="thin">
        <color rgb="FF0033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4" fontId="6" numFmtId="0" xfId="0" applyAlignment="1" applyBorder="1" applyFont="1">
      <alignment horizontal="left" readingOrder="0" shrinkToFit="0" vertical="center" wrapText="1"/>
    </xf>
    <xf borderId="5" fillId="4" fontId="6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ill="1" applyFont="1">
      <alignment horizontal="center" shrinkToFit="0" vertical="center" wrapText="1"/>
    </xf>
    <xf borderId="5" fillId="6" fontId="8" numFmtId="0" xfId="0" applyAlignment="1" applyBorder="1" applyFill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5" fillId="7" fontId="6" numFmtId="0" xfId="0" applyAlignment="1" applyBorder="1" applyFont="1">
      <alignment horizontal="left" readingOrder="0" shrinkToFit="0" vertical="center" wrapText="1"/>
    </xf>
    <xf borderId="5" fillId="7" fontId="6" numFmtId="0" xfId="0" applyAlignment="1" applyBorder="1" applyFont="1">
      <alignment horizontal="center" readingOrder="0" shrinkToFit="0" vertical="center" wrapText="1"/>
    </xf>
    <xf borderId="5" fillId="5" fontId="9" numFmtId="0" xfId="0" applyAlignment="1" applyBorder="1" applyFont="1">
      <alignment horizontal="center" readingOrder="0" shrinkToFit="0" vertical="center" wrapText="1"/>
    </xf>
    <xf borderId="5" fillId="8" fontId="10" numFmtId="0" xfId="0" applyAlignment="1" applyBorder="1" applyFill="1" applyFont="1">
      <alignment horizontal="center" readingOrder="0" shrinkToFit="0" vertical="center" wrapText="1"/>
    </xf>
    <xf borderId="5" fillId="7" fontId="5" numFmtId="0" xfId="0" applyAlignment="1" applyBorder="1" applyFont="1">
      <alignment horizontal="center" readingOrder="0" shrinkToFit="0" vertical="center" wrapText="1"/>
    </xf>
    <xf borderId="6" fillId="3" fontId="11" numFmtId="0" xfId="0" applyAlignment="1" applyBorder="1" applyFont="1">
      <alignment horizontal="center" shrinkToFit="0" vertical="center" wrapText="1"/>
    </xf>
    <xf borderId="6" fillId="7" fontId="12" numFmtId="0" xfId="0" applyAlignment="1" applyBorder="1" applyFont="1">
      <alignment horizontal="left" shrinkToFit="0" vertical="center" wrapText="1"/>
    </xf>
    <xf borderId="6" fillId="7" fontId="12" numFmtId="0" xfId="0" applyAlignment="1" applyBorder="1" applyFont="1">
      <alignment horizontal="center" shrinkToFit="0" vertical="center" wrapText="1"/>
    </xf>
    <xf borderId="6" fillId="4" fontId="12" numFmtId="0" xfId="0" applyAlignment="1" applyBorder="1" applyFont="1">
      <alignment horizontal="left" shrinkToFit="0" vertical="center" wrapText="1"/>
    </xf>
    <xf borderId="6" fillId="4" fontId="12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right" shrinkToFit="0" vertical="center" wrapText="1"/>
    </xf>
    <xf borderId="8" fillId="0" fontId="2" numFmtId="0" xfId="0" applyBorder="1" applyFont="1"/>
    <xf borderId="9" fillId="0" fontId="2" numFmtId="0" xfId="0" applyBorder="1" applyFont="1"/>
    <xf borderId="4" fillId="2" fontId="13" numFmtId="0" xfId="0" applyAlignment="1" applyBorder="1" applyFont="1">
      <alignment horizontal="center" shrinkToFit="0" vertical="center" wrapText="1"/>
    </xf>
    <xf borderId="4" fillId="2" fontId="14" numFmtId="0" xfId="0" applyBorder="1" applyFont="1"/>
    <xf borderId="0" fillId="0" fontId="15" numFmtId="0" xfId="0" applyAlignment="1" applyFont="1">
      <alignment horizontal="left" shrinkToFit="0" vertical="center" wrapText="1"/>
    </xf>
    <xf borderId="1" fillId="9" fontId="1" numFmtId="0" xfId="0" applyAlignment="1" applyBorder="1" applyFill="1" applyFont="1">
      <alignment horizontal="left" shrinkToFit="0" vertical="center" wrapText="1"/>
    </xf>
    <xf borderId="1" fillId="10" fontId="16" numFmtId="0" xfId="0" applyAlignment="1" applyBorder="1" applyFill="1" applyFont="1">
      <alignment horizontal="left" shrinkToFit="0" vertical="center" wrapText="1"/>
    </xf>
    <xf borderId="4" fillId="9" fontId="4" numFmtId="0" xfId="0" applyAlignment="1" applyBorder="1" applyFont="1">
      <alignment horizontal="center" shrinkToFit="0" vertical="center" wrapText="1"/>
    </xf>
    <xf borderId="5" fillId="4" fontId="17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left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7" fontId="17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left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5" fillId="8" fontId="9" numFmtId="0" xfId="0" applyAlignment="1" applyBorder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1"/>
    </xf>
    <xf borderId="6" fillId="10" fontId="18" numFmtId="0" xfId="0" applyAlignment="1" applyBorder="1" applyFont="1">
      <alignment horizontal="center" shrinkToFit="0" vertical="center" wrapText="1"/>
    </xf>
    <xf borderId="7" fillId="9" fontId="4" numFmtId="0" xfId="0" applyAlignment="1" applyBorder="1" applyFont="1">
      <alignment horizontal="right" shrinkToFit="0" vertical="center" wrapText="1"/>
    </xf>
    <xf borderId="4" fillId="9" fontId="13" numFmtId="0" xfId="0" applyAlignment="1" applyBorder="1" applyFont="1">
      <alignment horizontal="center" shrinkToFit="0" vertical="center" wrapText="1"/>
    </xf>
    <xf borderId="4" fillId="9" fontId="14" numFmtId="0" xfId="0" applyBorder="1" applyFont="1"/>
    <xf borderId="1" fillId="2" fontId="19" numFmtId="0" xfId="0" applyAlignment="1" applyBorder="1" applyFont="1">
      <alignment horizontal="left" shrinkToFit="0" vertical="center" wrapText="1"/>
    </xf>
    <xf borderId="1" fillId="3" fontId="20" numFmtId="0" xfId="0" applyAlignment="1" applyBorder="1" applyFont="1">
      <alignment horizontal="left" shrinkToFit="0" vertical="center" wrapText="1"/>
    </xf>
    <xf borderId="10" fillId="3" fontId="5" numFmtId="0" xfId="0" applyAlignment="1" applyBorder="1" applyFont="1">
      <alignment horizontal="left" shrinkToFit="0" vertical="center" wrapText="1"/>
    </xf>
    <xf borderId="10" fillId="3" fontId="21" numFmtId="0" xfId="0" applyAlignment="1" applyBorder="1" applyFont="1">
      <alignment horizontal="center" shrinkToFit="0" vertical="center" wrapText="1"/>
    </xf>
    <xf borderId="10" fillId="10" fontId="22" numFmtId="0" xfId="0" applyAlignment="1" applyBorder="1" applyFont="1">
      <alignment horizontal="center" shrinkToFit="0" vertical="center" wrapText="1"/>
    </xf>
    <xf borderId="11" fillId="4" fontId="14" numFmtId="0" xfId="0" applyBorder="1" applyFont="1"/>
    <xf borderId="10" fillId="4" fontId="6" numFmtId="0" xfId="0" applyAlignment="1" applyBorder="1" applyFont="1">
      <alignment horizontal="left" shrinkToFit="0" vertical="center" wrapText="1"/>
    </xf>
    <xf borderId="10" fillId="7" fontId="23" numFmtId="0" xfId="0" applyAlignment="1" applyBorder="1" applyFont="1">
      <alignment horizontal="center" shrinkToFit="0" vertical="center" wrapText="1"/>
    </xf>
    <xf borderId="10" fillId="7" fontId="24" numFmtId="0" xfId="0" applyAlignment="1" applyBorder="1" applyFont="1">
      <alignment horizontal="center" shrinkToFit="0" vertical="center" wrapText="1"/>
    </xf>
    <xf borderId="10" fillId="6" fontId="2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4.0"/>
    <col customWidth="1" min="3" max="3" width="42.0"/>
    <col customWidth="1" min="4" max="4" width="16.0"/>
    <col customWidth="1" min="5" max="5" width="12.0"/>
    <col customWidth="1" min="6" max="6" width="13.0"/>
    <col customWidth="1" min="7" max="7" width="40.86"/>
    <col customWidth="1" min="8" max="8" width="28.0"/>
    <col customWidth="1" min="9" max="9" width="16.0"/>
    <col customWidth="1" min="10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21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ht="43.5" customHeight="1">
      <c r="A5" s="6" t="s">
        <v>11</v>
      </c>
      <c r="B5" s="7" t="s">
        <v>12</v>
      </c>
      <c r="C5" s="7" t="s">
        <v>13</v>
      </c>
      <c r="D5" s="8" t="s">
        <v>14</v>
      </c>
      <c r="E5" s="9" t="s">
        <v>15</v>
      </c>
      <c r="F5" s="10" t="s">
        <v>16</v>
      </c>
      <c r="G5" s="7" t="s">
        <v>17</v>
      </c>
      <c r="H5" s="7" t="s">
        <v>18</v>
      </c>
      <c r="I5" s="8" t="s">
        <v>19</v>
      </c>
    </row>
    <row r="6">
      <c r="A6" s="11" t="s">
        <v>20</v>
      </c>
      <c r="B6" s="12" t="s">
        <v>21</v>
      </c>
      <c r="C6" s="12" t="s">
        <v>22</v>
      </c>
      <c r="D6" s="13" t="s">
        <v>14</v>
      </c>
      <c r="E6" s="9" t="s">
        <v>15</v>
      </c>
      <c r="F6" s="10" t="s">
        <v>16</v>
      </c>
      <c r="G6" s="12" t="s">
        <v>23</v>
      </c>
      <c r="H6" s="12" t="s">
        <v>24</v>
      </c>
      <c r="I6" s="13" t="s">
        <v>25</v>
      </c>
    </row>
    <row r="7">
      <c r="A7" s="6" t="s">
        <v>26</v>
      </c>
      <c r="B7" s="7" t="s">
        <v>27</v>
      </c>
      <c r="C7" s="7" t="s">
        <v>28</v>
      </c>
      <c r="D7" s="8" t="s">
        <v>14</v>
      </c>
      <c r="E7" s="9" t="s">
        <v>15</v>
      </c>
      <c r="F7" s="10" t="s">
        <v>16</v>
      </c>
      <c r="G7" s="7" t="s">
        <v>29</v>
      </c>
      <c r="H7" s="7" t="s">
        <v>30</v>
      </c>
      <c r="I7" s="8" t="s">
        <v>31</v>
      </c>
    </row>
    <row r="8">
      <c r="A8" s="11" t="s">
        <v>32</v>
      </c>
      <c r="B8" s="12" t="s">
        <v>33</v>
      </c>
      <c r="C8" s="12" t="s">
        <v>34</v>
      </c>
      <c r="D8" s="13" t="s">
        <v>14</v>
      </c>
      <c r="E8" s="14" t="s">
        <v>35</v>
      </c>
      <c r="F8" s="10" t="s">
        <v>16</v>
      </c>
      <c r="G8" s="12" t="s">
        <v>36</v>
      </c>
      <c r="H8" s="12" t="s">
        <v>37</v>
      </c>
      <c r="I8" s="13" t="s">
        <v>31</v>
      </c>
    </row>
    <row r="9" ht="39.0" customHeight="1">
      <c r="A9" s="6" t="s">
        <v>38</v>
      </c>
      <c r="B9" s="7" t="s">
        <v>39</v>
      </c>
      <c r="C9" s="7" t="s">
        <v>40</v>
      </c>
      <c r="D9" s="8" t="s">
        <v>14</v>
      </c>
      <c r="E9" s="14" t="s">
        <v>35</v>
      </c>
      <c r="F9" s="10" t="s">
        <v>16</v>
      </c>
      <c r="G9" s="7" t="s">
        <v>41</v>
      </c>
      <c r="H9" s="7" t="s">
        <v>42</v>
      </c>
      <c r="I9" s="8" t="s">
        <v>43</v>
      </c>
    </row>
    <row r="10" ht="43.5" customHeight="1">
      <c r="A10" s="11" t="s">
        <v>44</v>
      </c>
      <c r="B10" s="12" t="s">
        <v>45</v>
      </c>
      <c r="C10" s="12" t="s">
        <v>46</v>
      </c>
      <c r="D10" s="13" t="s">
        <v>14</v>
      </c>
      <c r="E10" s="15" t="s">
        <v>47</v>
      </c>
      <c r="F10" s="10" t="s">
        <v>16</v>
      </c>
      <c r="G10" s="12" t="s">
        <v>48</v>
      </c>
      <c r="H10" s="12" t="s">
        <v>49</v>
      </c>
      <c r="I10" s="13" t="s">
        <v>43</v>
      </c>
    </row>
    <row r="11" ht="39.0" customHeight="1">
      <c r="A11" s="16" t="s">
        <v>50</v>
      </c>
      <c r="B11" s="12" t="s">
        <v>51</v>
      </c>
      <c r="C11" s="12" t="s">
        <v>52</v>
      </c>
      <c r="D11" s="13" t="s">
        <v>53</v>
      </c>
      <c r="E11" s="9" t="s">
        <v>15</v>
      </c>
      <c r="F11" s="10" t="s">
        <v>16</v>
      </c>
      <c r="G11" s="12" t="s">
        <v>54</v>
      </c>
      <c r="H11" s="12" t="s">
        <v>55</v>
      </c>
      <c r="I11" s="13" t="s">
        <v>56</v>
      </c>
    </row>
    <row r="12" ht="36.75" customHeight="1">
      <c r="A12" s="16" t="s">
        <v>57</v>
      </c>
      <c r="B12" s="12" t="s">
        <v>58</v>
      </c>
      <c r="C12" s="12" t="s">
        <v>59</v>
      </c>
      <c r="D12" s="13" t="s">
        <v>14</v>
      </c>
      <c r="E12" s="9" t="s">
        <v>15</v>
      </c>
      <c r="F12" s="10" t="s">
        <v>16</v>
      </c>
      <c r="G12" s="12" t="s">
        <v>60</v>
      </c>
      <c r="H12" s="12" t="s">
        <v>61</v>
      </c>
      <c r="I12" s="13" t="s">
        <v>62</v>
      </c>
    </row>
    <row r="13" ht="39.0" customHeight="1">
      <c r="A13" s="16" t="s">
        <v>63</v>
      </c>
      <c r="B13" s="12" t="s">
        <v>64</v>
      </c>
      <c r="C13" s="12" t="s">
        <v>65</v>
      </c>
      <c r="D13" s="13" t="s">
        <v>53</v>
      </c>
      <c r="E13" s="9" t="s">
        <v>15</v>
      </c>
      <c r="F13" s="10" t="s">
        <v>16</v>
      </c>
      <c r="G13" s="12" t="s">
        <v>66</v>
      </c>
      <c r="H13" s="12" t="s">
        <v>67</v>
      </c>
      <c r="I13" s="13" t="s">
        <v>68</v>
      </c>
    </row>
    <row r="14" ht="34.5" customHeight="1">
      <c r="A14" s="16" t="s">
        <v>69</v>
      </c>
      <c r="B14" s="12" t="s">
        <v>70</v>
      </c>
      <c r="C14" s="12" t="s">
        <v>71</v>
      </c>
      <c r="D14" s="13" t="s">
        <v>14</v>
      </c>
      <c r="E14" s="14" t="s">
        <v>35</v>
      </c>
      <c r="F14" s="10" t="s">
        <v>16</v>
      </c>
      <c r="G14" s="12" t="s">
        <v>72</v>
      </c>
      <c r="H14" s="12" t="s">
        <v>73</v>
      </c>
      <c r="I14" s="13" t="s">
        <v>74</v>
      </c>
    </row>
    <row r="15" ht="27.75" customHeight="1">
      <c r="A15" s="17" t="s">
        <v>75</v>
      </c>
      <c r="B15" s="18"/>
      <c r="C15" s="18"/>
      <c r="D15" s="19"/>
      <c r="E15" s="19"/>
      <c r="F15" s="19"/>
      <c r="G15" s="18"/>
      <c r="H15" s="18"/>
      <c r="I15" s="19"/>
    </row>
    <row r="16" ht="27.75" customHeight="1">
      <c r="A16" s="17" t="s">
        <v>76</v>
      </c>
      <c r="B16" s="20"/>
      <c r="C16" s="20"/>
      <c r="D16" s="21"/>
      <c r="E16" s="21"/>
      <c r="F16" s="21"/>
      <c r="G16" s="20"/>
      <c r="H16" s="20"/>
      <c r="I16" s="21"/>
    </row>
    <row r="17" ht="27.75" customHeight="1">
      <c r="A17" s="17" t="s">
        <v>77</v>
      </c>
      <c r="B17" s="18"/>
      <c r="C17" s="18"/>
      <c r="D17" s="19"/>
      <c r="E17" s="19"/>
      <c r="F17" s="19"/>
      <c r="G17" s="18"/>
      <c r="H17" s="18"/>
      <c r="I17" s="19"/>
    </row>
    <row r="18" ht="27.75" customHeight="1">
      <c r="A18" s="17" t="s">
        <v>78</v>
      </c>
      <c r="B18" s="20"/>
      <c r="C18" s="20"/>
      <c r="D18" s="21"/>
      <c r="E18" s="21"/>
      <c r="F18" s="21"/>
      <c r="G18" s="20"/>
      <c r="H18" s="20"/>
      <c r="I18" s="21"/>
    </row>
    <row r="19" ht="27.75" customHeight="1">
      <c r="A19" s="17" t="s">
        <v>79</v>
      </c>
      <c r="B19" s="18"/>
      <c r="C19" s="18"/>
      <c r="D19" s="19"/>
      <c r="E19" s="19"/>
      <c r="F19" s="21"/>
      <c r="G19" s="18"/>
      <c r="H19" s="18"/>
      <c r="I19" s="19"/>
    </row>
    <row r="20" ht="19.5" customHeight="1">
      <c r="A20" s="22" t="s">
        <v>80</v>
      </c>
      <c r="B20" s="23"/>
      <c r="C20" s="23"/>
      <c r="D20" s="24"/>
      <c r="E20" s="25">
        <f>COUNTA(A5:A19)</f>
        <v>15</v>
      </c>
      <c r="F20" s="26"/>
      <c r="G20" s="26"/>
      <c r="H20" s="26"/>
      <c r="I20" s="26"/>
    </row>
    <row r="21" ht="15.75" customHeight="1"/>
    <row r="22" ht="18.0" customHeight="1">
      <c r="A22" s="27" t="s">
        <v>81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20:D20"/>
    <mergeCell ref="A22:I22"/>
  </mergeCells>
  <conditionalFormatting sqref="E8 E14">
    <cfRule type="notContainsBlanks" dxfId="0" priority="1">
      <formula>LEN(TRIM(E8))&gt;0</formula>
    </cfRule>
  </conditionalFormatting>
  <conditionalFormatting sqref="E9">
    <cfRule type="notContainsBlanks" dxfId="0" priority="2">
      <formula>LEN(TRIM(E9))&gt;0</formula>
    </cfRule>
  </conditionalFormatting>
  <conditionalFormatting sqref="E10">
    <cfRule type="notContainsBlanks" dxfId="1" priority="3">
      <formula>LEN(TRIM(E10))&gt;0</formula>
    </cfRule>
  </conditionalFormatting>
  <dataValidations>
    <dataValidation type="list" allowBlank="1" sqref="E5:E19">
      <formula1>"Alta,Média,Baixa"</formula1>
    </dataValidation>
    <dataValidation type="list" allowBlank="1" sqref="F5:F19">
      <formula1>"Pendente,Em curso,Concluído,Cancelado"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4.0"/>
    <col customWidth="1" min="3" max="3" width="42.0"/>
    <col customWidth="1" min="4" max="4" width="16.0"/>
    <col customWidth="1" min="5" max="5" width="12.0"/>
    <col customWidth="1" min="6" max="6" width="13.0"/>
    <col customWidth="1" min="7" max="7" width="48.71"/>
    <col customWidth="1" min="8" max="8" width="28.0"/>
    <col customWidth="1" min="9" max="9" width="16.0"/>
    <col customWidth="1" min="10" max="26" width="8.71"/>
  </cols>
  <sheetData>
    <row r="1" ht="25.5" customHeight="1">
      <c r="A1" s="28" t="s">
        <v>82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29" t="s">
        <v>83</v>
      </c>
      <c r="B2" s="2"/>
      <c r="C2" s="2"/>
      <c r="D2" s="2"/>
      <c r="E2" s="2"/>
      <c r="F2" s="2"/>
      <c r="G2" s="2"/>
      <c r="H2" s="2"/>
      <c r="I2" s="3"/>
    </row>
    <row r="3" ht="6.0" customHeight="1"/>
    <row r="4" ht="21.75" customHeight="1">
      <c r="A4" s="30" t="s">
        <v>2</v>
      </c>
      <c r="B4" s="30" t="s">
        <v>3</v>
      </c>
      <c r="C4" s="30" t="s">
        <v>4</v>
      </c>
      <c r="D4" s="30" t="s">
        <v>5</v>
      </c>
      <c r="E4" s="30" t="s">
        <v>6</v>
      </c>
      <c r="F4" s="30" t="s">
        <v>7</v>
      </c>
      <c r="G4" s="30" t="s">
        <v>8</v>
      </c>
      <c r="H4" s="30" t="s">
        <v>9</v>
      </c>
      <c r="I4" s="30" t="s">
        <v>10</v>
      </c>
    </row>
    <row r="5">
      <c r="A5" s="31" t="s">
        <v>84</v>
      </c>
      <c r="B5" s="32" t="s">
        <v>74</v>
      </c>
      <c r="C5" s="32" t="s">
        <v>85</v>
      </c>
      <c r="D5" s="33" t="s">
        <v>86</v>
      </c>
      <c r="E5" s="9" t="s">
        <v>15</v>
      </c>
      <c r="F5" s="10" t="s">
        <v>16</v>
      </c>
      <c r="G5" s="32" t="s">
        <v>87</v>
      </c>
      <c r="H5" s="32" t="s">
        <v>88</v>
      </c>
      <c r="I5" s="33" t="s">
        <v>89</v>
      </c>
    </row>
    <row r="6">
      <c r="A6" s="34" t="s">
        <v>90</v>
      </c>
      <c r="B6" s="35" t="s">
        <v>91</v>
      </c>
      <c r="C6" s="35" t="s">
        <v>92</v>
      </c>
      <c r="D6" s="36" t="s">
        <v>53</v>
      </c>
      <c r="E6" s="9" t="s">
        <v>15</v>
      </c>
      <c r="F6" s="10" t="s">
        <v>16</v>
      </c>
      <c r="G6" s="35" t="s">
        <v>93</v>
      </c>
      <c r="H6" s="35" t="s">
        <v>94</v>
      </c>
      <c r="I6" s="36" t="s">
        <v>68</v>
      </c>
    </row>
    <row r="7">
      <c r="A7" s="31" t="s">
        <v>95</v>
      </c>
      <c r="B7" s="32" t="s">
        <v>96</v>
      </c>
      <c r="C7" s="32" t="s">
        <v>97</v>
      </c>
      <c r="D7" s="33" t="s">
        <v>98</v>
      </c>
      <c r="E7" s="37" t="s">
        <v>35</v>
      </c>
      <c r="F7" s="10" t="s">
        <v>16</v>
      </c>
      <c r="G7" s="32" t="s">
        <v>99</v>
      </c>
      <c r="H7" s="32"/>
      <c r="I7" s="33" t="s">
        <v>100</v>
      </c>
    </row>
    <row r="8" ht="30.0" customHeight="1">
      <c r="A8" s="34" t="s">
        <v>101</v>
      </c>
      <c r="B8" s="35" t="s">
        <v>102</v>
      </c>
      <c r="C8" s="35" t="s">
        <v>103</v>
      </c>
      <c r="D8" s="36" t="s">
        <v>86</v>
      </c>
      <c r="E8" s="37" t="s">
        <v>35</v>
      </c>
      <c r="F8" s="10" t="s">
        <v>16</v>
      </c>
      <c r="G8" s="35" t="s">
        <v>104</v>
      </c>
      <c r="H8" s="35"/>
      <c r="I8" s="36" t="s">
        <v>56</v>
      </c>
    </row>
    <row r="9" ht="30.0" customHeight="1">
      <c r="A9" s="31" t="s">
        <v>105</v>
      </c>
      <c r="B9" s="32" t="s">
        <v>106</v>
      </c>
      <c r="C9" s="32" t="s">
        <v>107</v>
      </c>
      <c r="D9" s="33" t="s">
        <v>86</v>
      </c>
      <c r="E9" s="38" t="s">
        <v>47</v>
      </c>
      <c r="F9" s="10" t="s">
        <v>16</v>
      </c>
      <c r="G9" s="32" t="s">
        <v>108</v>
      </c>
      <c r="H9" s="32" t="s">
        <v>109</v>
      </c>
      <c r="I9" s="33" t="s">
        <v>106</v>
      </c>
    </row>
    <row r="10" ht="27.75" customHeight="1">
      <c r="A10" s="39" t="s">
        <v>110</v>
      </c>
      <c r="B10" s="20"/>
      <c r="C10" s="20" t="s">
        <v>111</v>
      </c>
      <c r="D10" s="21"/>
      <c r="E10" s="21"/>
      <c r="F10" s="21"/>
      <c r="G10" s="20" t="s">
        <v>112</v>
      </c>
      <c r="H10" s="20"/>
      <c r="I10" s="21"/>
    </row>
    <row r="11" ht="27.75" customHeight="1">
      <c r="A11" s="39" t="s">
        <v>113</v>
      </c>
      <c r="B11" s="18"/>
      <c r="C11" s="18"/>
      <c r="D11" s="19"/>
      <c r="E11" s="19"/>
      <c r="F11" s="19"/>
      <c r="G11" s="18"/>
      <c r="H11" s="18"/>
      <c r="I11" s="19"/>
    </row>
    <row r="12" ht="27.75" customHeight="1">
      <c r="A12" s="39" t="s">
        <v>114</v>
      </c>
      <c r="B12" s="20"/>
      <c r="C12" s="20"/>
      <c r="D12" s="21"/>
      <c r="E12" s="21"/>
      <c r="F12" s="21"/>
      <c r="G12" s="20"/>
      <c r="H12" s="20"/>
      <c r="I12" s="21"/>
    </row>
    <row r="13" ht="27.75" customHeight="1">
      <c r="A13" s="39" t="s">
        <v>115</v>
      </c>
      <c r="B13" s="18"/>
      <c r="C13" s="18"/>
      <c r="D13" s="19"/>
      <c r="E13" s="19"/>
      <c r="F13" s="19"/>
      <c r="G13" s="18"/>
      <c r="H13" s="18"/>
      <c r="I13" s="19"/>
    </row>
    <row r="14" ht="27.75" customHeight="1">
      <c r="A14" s="39" t="s">
        <v>116</v>
      </c>
      <c r="B14" s="20"/>
      <c r="C14" s="20"/>
      <c r="D14" s="21"/>
      <c r="E14" s="21"/>
      <c r="F14" s="21"/>
      <c r="G14" s="20"/>
      <c r="H14" s="20"/>
      <c r="I14" s="21"/>
    </row>
    <row r="15" ht="27.75" customHeight="1">
      <c r="A15" s="39" t="s">
        <v>117</v>
      </c>
      <c r="B15" s="18"/>
      <c r="C15" s="18"/>
      <c r="D15" s="19"/>
      <c r="E15" s="19"/>
      <c r="F15" s="19"/>
      <c r="G15" s="18"/>
      <c r="H15" s="18"/>
      <c r="I15" s="19"/>
    </row>
    <row r="16" ht="27.75" customHeight="1">
      <c r="A16" s="39" t="s">
        <v>118</v>
      </c>
      <c r="B16" s="20"/>
      <c r="C16" s="20"/>
      <c r="D16" s="21"/>
      <c r="E16" s="21"/>
      <c r="F16" s="21"/>
      <c r="G16" s="20"/>
      <c r="H16" s="20"/>
      <c r="I16" s="21"/>
    </row>
    <row r="17" ht="27.75" customHeight="1">
      <c r="A17" s="39" t="s">
        <v>119</v>
      </c>
      <c r="B17" s="18"/>
      <c r="C17" s="18"/>
      <c r="D17" s="19"/>
      <c r="E17" s="19"/>
      <c r="F17" s="19"/>
      <c r="G17" s="18"/>
      <c r="H17" s="18"/>
      <c r="I17" s="19"/>
    </row>
    <row r="18" ht="19.5" customHeight="1">
      <c r="A18" s="40" t="s">
        <v>120</v>
      </c>
      <c r="B18" s="23"/>
      <c r="C18" s="23"/>
      <c r="D18" s="24"/>
      <c r="E18" s="41">
        <f>COUNTA(A5:A17)</f>
        <v>13</v>
      </c>
      <c r="F18" s="42"/>
      <c r="G18" s="42"/>
      <c r="H18" s="42"/>
      <c r="I18" s="42"/>
    </row>
    <row r="20" ht="18.0" customHeight="1">
      <c r="A20" s="27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18:D18"/>
    <mergeCell ref="A20:I20"/>
  </mergeCells>
  <dataValidations>
    <dataValidation type="list" allowBlank="1" sqref="E5:E17">
      <formula1>"Alta,Média,Baixa"</formula1>
    </dataValidation>
    <dataValidation type="list" allowBlank="1" sqref="F5:F17">
      <formula1>"Pendente,Em curso,Concluído,Cancelado"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18.0"/>
    <col customWidth="1" min="6" max="26" width="8.71"/>
  </cols>
  <sheetData>
    <row r="1" ht="30.0" customHeight="1">
      <c r="A1" s="43" t="s">
        <v>121</v>
      </c>
      <c r="B1" s="2"/>
      <c r="C1" s="2"/>
      <c r="D1" s="2"/>
      <c r="E1" s="3"/>
    </row>
    <row r="2" ht="18.0" customHeight="1">
      <c r="A2" s="44" t="s">
        <v>122</v>
      </c>
      <c r="B2" s="2"/>
      <c r="C2" s="2"/>
      <c r="D2" s="2"/>
      <c r="E2" s="3"/>
    </row>
    <row r="3" ht="9.75" customHeight="1"/>
    <row r="4" ht="19.5" customHeight="1">
      <c r="A4" s="5" t="s">
        <v>123</v>
      </c>
      <c r="B4" s="5" t="s">
        <v>124</v>
      </c>
      <c r="C4" s="5" t="s">
        <v>125</v>
      </c>
      <c r="D4" s="5" t="s">
        <v>126</v>
      </c>
      <c r="E4" s="5"/>
    </row>
    <row r="5" ht="21.75" customHeight="1">
      <c r="A5" s="45" t="s">
        <v>127</v>
      </c>
      <c r="B5" s="46">
        <f>'Req. Funcionais (RF)'!E20</f>
        <v>15</v>
      </c>
      <c r="C5" s="47" t="str">
        <f>'Req. Não Funcionais (RNF)'!E15</f>
        <v/>
      </c>
      <c r="D5" s="46">
        <f t="shared" ref="D5:D11" si="1">B5+C5</f>
        <v>15</v>
      </c>
      <c r="E5" s="48"/>
    </row>
    <row r="6" ht="21.75" customHeight="1">
      <c r="A6" s="49" t="s">
        <v>128</v>
      </c>
      <c r="B6" s="50">
        <f>COUNTIF('Req. Funcionais (RF)'!E5:E19,"Alta")</f>
        <v>6</v>
      </c>
      <c r="C6" s="51">
        <f>COUNTIF('Req. Não Funcionais (RNF)'!E5:E14,"Alta")</f>
        <v>2</v>
      </c>
      <c r="D6" s="52">
        <f t="shared" si="1"/>
        <v>8</v>
      </c>
      <c r="E6" s="48"/>
    </row>
    <row r="7" ht="21.75" customHeight="1">
      <c r="A7" s="49" t="s">
        <v>129</v>
      </c>
      <c r="B7" s="50">
        <f>COUNTIF('Req. Funcionais (RF)'!E5:E19,"Média")</f>
        <v>3</v>
      </c>
      <c r="C7" s="51">
        <f>COUNTIF('Req. Não Funcionais (RNF)'!E5:E14,"Média")</f>
        <v>2</v>
      </c>
      <c r="D7" s="52">
        <f t="shared" si="1"/>
        <v>5</v>
      </c>
      <c r="E7" s="48"/>
    </row>
    <row r="8" ht="21.75" customHeight="1">
      <c r="A8" s="49" t="s">
        <v>130</v>
      </c>
      <c r="B8" s="50">
        <f>COUNTIF('Req. Funcionais (RF)'!E5:E19,"Baixa")</f>
        <v>1</v>
      </c>
      <c r="C8" s="51">
        <f>COUNTIF('Req. Não Funcionais (RNF)'!E5:E14,"Baixa")</f>
        <v>1</v>
      </c>
      <c r="D8" s="52">
        <f t="shared" si="1"/>
        <v>2</v>
      </c>
      <c r="E8" s="48"/>
    </row>
    <row r="9" ht="21.75" customHeight="1">
      <c r="A9" s="49" t="s">
        <v>131</v>
      </c>
      <c r="B9" s="50">
        <f>COUNTIF('Req. Funcionais (RF)'!F5:F18,"Concluído")</f>
        <v>0</v>
      </c>
      <c r="C9" s="51">
        <f>COUNTIF('Req. Não Funcionais (RNF)'!F5:F14,"Concluído")</f>
        <v>0</v>
      </c>
      <c r="D9" s="52">
        <f t="shared" si="1"/>
        <v>0</v>
      </c>
      <c r="E9" s="48"/>
    </row>
    <row r="10" ht="21.75" customHeight="1">
      <c r="A10" s="49" t="s">
        <v>132</v>
      </c>
      <c r="B10" s="50">
        <f>COUNTIF('Req. Funcionais (RF)'!F5:F18,"Pendente")</f>
        <v>10</v>
      </c>
      <c r="C10" s="51">
        <f>COUNTIF('Req. Não Funcionais (RNF)'!F5:F14,"Pendente")</f>
        <v>5</v>
      </c>
      <c r="D10" s="52">
        <f t="shared" si="1"/>
        <v>15</v>
      </c>
      <c r="E10" s="48"/>
    </row>
    <row r="11" ht="21.75" customHeight="1">
      <c r="A11" s="49" t="s">
        <v>133</v>
      </c>
      <c r="B11" s="50">
        <f>COUNTIF('Req. Funcionais (RF)'!F5:F18,"Em curso")</f>
        <v>0</v>
      </c>
      <c r="C11" s="51">
        <f>COUNTIF('Req. Não Funcionais (RNF)'!F5:F14,"Em curso")</f>
        <v>0</v>
      </c>
      <c r="D11" s="52">
        <f t="shared" si="1"/>
        <v>0</v>
      </c>
      <c r="E11" s="4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2026-06-01T18:35:13Z</dcterms:created>
  <dc:creator>Carlos Barata</dc:creator>
</cp:coreProperties>
</file>